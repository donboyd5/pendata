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htu/Documents/Reason Org/Full_Stack_Actuarial_Modeling_Projects/Texas_pension_system/models/texas_trs_model/Inputs/"/>
    </mc:Choice>
  </mc:AlternateContent>
  <xr:revisionPtr revIDLastSave="0" documentId="13_ncr:1_{24A0B8FC-EDE5-4F4B-A6CE-9EB199644E52}" xr6:coauthVersionLast="47" xr6:coauthVersionMax="47" xr10:uidLastSave="{00000000-0000-0000-0000-000000000000}"/>
  <bookViews>
    <workbookView xWindow="240" yWindow="760" windowWidth="27980" windowHeight="193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3" l="1"/>
  <c r="U22" i="3"/>
  <c r="T22" i="3"/>
  <c r="S22" i="3"/>
  <c r="R22" i="3"/>
  <c r="Q22" i="3"/>
  <c r="P22" i="3"/>
  <c r="O22" i="3"/>
  <c r="V20" i="3"/>
  <c r="U20" i="3"/>
  <c r="T20" i="3"/>
  <c r="S20" i="3"/>
  <c r="R20" i="3"/>
  <c r="Q20" i="3"/>
  <c r="P20" i="3"/>
  <c r="O20" i="3"/>
  <c r="V18" i="3"/>
  <c r="U18" i="3"/>
  <c r="T18" i="3"/>
  <c r="S18" i="3"/>
  <c r="R18" i="3"/>
  <c r="Q18" i="3"/>
  <c r="P18" i="3"/>
  <c r="O18" i="3"/>
  <c r="V16" i="3"/>
  <c r="U16" i="3"/>
  <c r="T16" i="3"/>
  <c r="S16" i="3"/>
  <c r="R16" i="3"/>
  <c r="Q16" i="3"/>
  <c r="P16" i="3"/>
  <c r="O16" i="3"/>
  <c r="V14" i="3"/>
  <c r="U14" i="3"/>
  <c r="T14" i="3"/>
  <c r="S14" i="3"/>
  <c r="R14" i="3"/>
  <c r="Q14" i="3"/>
  <c r="P14" i="3"/>
  <c r="O14" i="3"/>
  <c r="V12" i="3"/>
  <c r="U12" i="3"/>
  <c r="T12" i="3"/>
  <c r="S12" i="3"/>
  <c r="R12" i="3"/>
  <c r="Q12" i="3"/>
  <c r="P12" i="3"/>
  <c r="O12" i="3"/>
  <c r="V10" i="3"/>
  <c r="U10" i="3"/>
  <c r="T10" i="3"/>
  <c r="S10" i="3"/>
  <c r="R10" i="3"/>
  <c r="Q10" i="3"/>
  <c r="P10" i="3"/>
  <c r="O10" i="3"/>
  <c r="V8" i="3"/>
  <c r="U8" i="3"/>
  <c r="T8" i="3"/>
  <c r="S8" i="3"/>
  <c r="R8" i="3"/>
  <c r="Q8" i="3"/>
  <c r="P8" i="3"/>
  <c r="O8" i="3"/>
  <c r="V6" i="3"/>
  <c r="U6" i="3"/>
  <c r="T6" i="3"/>
  <c r="S6" i="3"/>
  <c r="R6" i="3"/>
  <c r="Q6" i="3"/>
  <c r="P6" i="3"/>
  <c r="O6" i="3"/>
  <c r="Q4" i="3"/>
  <c r="R4" i="3"/>
  <c r="S4" i="3"/>
  <c r="T4" i="3"/>
  <c r="U4" i="3"/>
  <c r="V4" i="3"/>
  <c r="P4" i="3"/>
  <c r="O4" i="3"/>
  <c r="V25" i="2"/>
  <c r="U25" i="2"/>
  <c r="T25" i="2"/>
  <c r="S25" i="2"/>
  <c r="R25" i="2"/>
  <c r="Q25" i="2"/>
  <c r="P25" i="2"/>
  <c r="O25" i="2"/>
  <c r="V23" i="2"/>
  <c r="U23" i="2"/>
  <c r="T23" i="2"/>
  <c r="S23" i="2"/>
  <c r="R23" i="2"/>
  <c r="Q23" i="2"/>
  <c r="P23" i="2"/>
  <c r="O23" i="2"/>
  <c r="V21" i="2"/>
  <c r="U21" i="2"/>
  <c r="T21" i="2"/>
  <c r="S21" i="2"/>
  <c r="R21" i="2"/>
  <c r="Q21" i="2"/>
  <c r="P21" i="2"/>
  <c r="O21" i="2"/>
  <c r="V19" i="2"/>
  <c r="U19" i="2"/>
  <c r="T19" i="2"/>
  <c r="S19" i="2"/>
  <c r="R19" i="2"/>
  <c r="Q19" i="2"/>
  <c r="P19" i="2"/>
  <c r="O19" i="2"/>
  <c r="V17" i="2"/>
  <c r="U17" i="2"/>
  <c r="T17" i="2"/>
  <c r="S17" i="2"/>
  <c r="R17" i="2"/>
  <c r="Q17" i="2"/>
  <c r="P17" i="2"/>
  <c r="O17" i="2"/>
  <c r="V15" i="2"/>
  <c r="U15" i="2"/>
  <c r="T15" i="2"/>
  <c r="S15" i="2"/>
  <c r="R15" i="2"/>
  <c r="Q15" i="2"/>
  <c r="P15" i="2"/>
  <c r="O15" i="2"/>
  <c r="V13" i="2"/>
  <c r="U13" i="2"/>
  <c r="T13" i="2"/>
  <c r="S13" i="2"/>
  <c r="R13" i="2"/>
  <c r="Q13" i="2"/>
  <c r="P13" i="2"/>
  <c r="O13" i="2"/>
  <c r="V11" i="2"/>
  <c r="U11" i="2"/>
  <c r="T11" i="2"/>
  <c r="S11" i="2"/>
  <c r="R11" i="2"/>
  <c r="Q11" i="2"/>
  <c r="P11" i="2"/>
  <c r="O11" i="2"/>
  <c r="P9" i="2"/>
  <c r="V9" i="2"/>
  <c r="U9" i="2"/>
  <c r="T9" i="2"/>
  <c r="S9" i="2"/>
  <c r="R9" i="2"/>
  <c r="Q9" i="2"/>
  <c r="R7" i="2"/>
  <c r="S7" i="2"/>
  <c r="T7" i="2"/>
  <c r="U7" i="2"/>
  <c r="V7" i="2"/>
  <c r="Q7" i="2"/>
  <c r="O9" i="2"/>
  <c r="P7" i="2"/>
  <c r="O7" i="2"/>
</calcChain>
</file>

<file path=xl/sharedStrings.xml><?xml version="1.0" encoding="utf-8"?>
<sst xmlns="http://schemas.openxmlformats.org/spreadsheetml/2006/main" count="67" uniqueCount="27">
  <si>
    <t>Table 17</t>
  </si>
  <si>
    <t>DISTRIBUTION OF ACTIVE MEMBERS BY AGE AND BY YEARS OF SERVICE</t>
  </si>
  <si>
    <t>AS OF 08/31/2024</t>
  </si>
  <si>
    <t>Years of Credited Service (Displaying Counts and Average Compensation)</t>
  </si>
  <si>
    <t>Atta i ned</t>
  </si>
  <si>
    <t>Age</t>
  </si>
  <si>
    <t>5-9</t>
  </si>
  <si>
    <t>10-14</t>
  </si>
  <si>
    <t>15-19</t>
  </si>
  <si>
    <t>20-24</t>
  </si>
  <si>
    <t>25-29</t>
  </si>
  <si>
    <t>30-34</t>
  </si>
  <si>
    <t>35-39</t>
  </si>
  <si>
    <t>Total</t>
  </si>
  <si>
    <t>Under 25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</si>
  <si>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</si>
  <si>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</si>
  <si>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</si>
  <si>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</si>
  <si>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</si>
  <si>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</si>
  <si>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</si>
  <si>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</si>
  <si>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+</t>
  </si>
  <si>
    <t>Total</t>
  </si>
  <si>
    <t>Note: Table includes contributing members but excludes members in DROP.</t>
  </si>
  <si>
    <t>Teacher Retirement System of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</si>
</sst>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809]#,##0"/>
  </numFmts>
  <fonts count="5">
    <font>
      <sz val="10"/>
      <name val="Arial"/>
      <family val="2"/>
    </font>
    <font>
      <sz val="16"/>
      <color rgb="FF002F86"/>
      <name val="Calibri Bold"/>
      <family val="2"/>
    </font>
    <font>
      <sz val="8"/>
      <name val="Calibri Bold"/>
      <family val="2"/>
    </font>
    <font>
      <sz val="8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1" fontId="4" fillId="0" borderId="0" xfId="0" applyNumberFormat="1" applyFont="1"/>
    <xf numFmtId="16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34"/>
  <sheetViews>
    <sheetView zoomScale="130" zoomScaleNormal="130" workbookViewId="0">
      <selection activeCell="A10" sqref="A10:N32"/>
    </sheetView>
  </sheetViews>
  <sheetFormatPr baseColWidth="10" defaultColWidth="8.83203125" defaultRowHeight="13"/>
  <cols>
    <col min="1" max="1" width="24"/>
    <col min="2" max="3" width="8"/>
    <col min="4" max="4" width="24"/>
    <col min="5" max="11" width="8"/>
    <col min="12" max="12" width="28"/>
    <col min="13" max="15" width="8"/>
  </cols>
  <sheetData>
    <row r="3" spans="1:14" ht="21">
      <c r="A3" s="1" t="s">
        <v>0</v>
      </c>
    </row>
    <row r="5" spans="1:14">
      <c r="A5" s="2" t="s">
        <v>1</v>
      </c>
    </row>
    <row r="6" spans="1:14">
      <c r="A6" s="2" t="s">
        <v>2</v>
      </c>
    </row>
    <row r="8" spans="1:14">
      <c r="A8" s="3" t="s">
        <v>3</v>
      </c>
    </row>
    <row r="9" spans="1:14">
      <c r="A9" s="3" t="s">
        <v>4</v>
      </c>
    </row>
    <row r="10" spans="1:14">
      <c r="A10" s="3" t="s">
        <v>5</v>
      </c>
      <c r="B10" s="4">
        <v>0</v>
      </c>
      <c r="C10" s="4">
        <v>1</v>
      </c>
      <c r="D10" s="4">
        <v>2</v>
      </c>
      <c r="E10" s="4">
        <v>3</v>
      </c>
      <c r="F10" s="4">
        <v>4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</row>
    <row r="11" spans="1:14">
      <c r="A11" s="3" t="s">
        <v>14</v>
      </c>
      <c r="C11" s="5">
        <v>17422</v>
      </c>
      <c r="D11" s="5">
        <v>8195</v>
      </c>
      <c r="E11" s="5">
        <v>2700</v>
      </c>
      <c r="F11" s="4">
        <v>695</v>
      </c>
      <c r="G11" s="4">
        <v>347</v>
      </c>
      <c r="N11" s="5">
        <v>29359</v>
      </c>
    </row>
    <row r="12" spans="1:14">
      <c r="C12" s="6">
        <v>31032</v>
      </c>
      <c r="D12" s="6">
        <v>37619</v>
      </c>
      <c r="E12" s="6">
        <v>34062</v>
      </c>
      <c r="F12" s="6">
        <v>32962</v>
      </c>
      <c r="G12" s="6">
        <v>33532</v>
      </c>
      <c r="N12" s="6">
        <v>33224</v>
      </c>
    </row>
    <row r="13" spans="1:14">
      <c r="A13" s="3" t="s">
        <v>15</v>
      </c>
      <c r="C13" s="5">
        <v>22207</v>
      </c>
      <c r="D13" s="5">
        <v>21575</v>
      </c>
      <c r="E13" s="5">
        <v>17977</v>
      </c>
      <c r="F13" s="5">
        <v>11521</v>
      </c>
      <c r="G13" s="5">
        <v>16980</v>
      </c>
      <c r="H13" s="4">
        <v>90</v>
      </c>
      <c r="N13" s="5">
        <v>90350</v>
      </c>
    </row>
    <row r="14" spans="1:14">
      <c r="C14" s="6">
        <v>38940</v>
      </c>
      <c r="D14" s="6">
        <v>49074</v>
      </c>
      <c r="E14" s="6">
        <v>52503</v>
      </c>
      <c r="F14" s="6">
        <v>55834</v>
      </c>
      <c r="G14" s="6">
        <v>56097</v>
      </c>
      <c r="H14" s="6">
        <v>50068</v>
      </c>
      <c r="N14" s="6">
        <v>49448</v>
      </c>
    </row>
    <row r="15" spans="1:14">
      <c r="A15" s="3" t="s">
        <v>16</v>
      </c>
      <c r="C15" s="5">
        <v>16278</v>
      </c>
      <c r="D15" s="5">
        <v>14412</v>
      </c>
      <c r="E15" s="5">
        <v>11864</v>
      </c>
      <c r="F15" s="5">
        <v>8658</v>
      </c>
      <c r="G15" s="5">
        <v>47926</v>
      </c>
      <c r="H15" s="5">
        <v>10740</v>
      </c>
      <c r="I15" s="4">
        <v>49</v>
      </c>
      <c r="N15" s="5">
        <v>109927</v>
      </c>
    </row>
    <row r="16" spans="1:14">
      <c r="C16" s="6">
        <v>38755</v>
      </c>
      <c r="D16" s="6">
        <v>48737</v>
      </c>
      <c r="E16" s="6">
        <v>52044</v>
      </c>
      <c r="F16" s="6">
        <v>55996</v>
      </c>
      <c r="G16" s="6">
        <v>60864</v>
      </c>
      <c r="H16" s="6">
        <v>65039</v>
      </c>
      <c r="I16" s="6">
        <v>55152</v>
      </c>
      <c r="N16" s="6">
        <v>55070</v>
      </c>
    </row>
    <row r="17" spans="1:14">
      <c r="A17" s="3" t="s">
        <v>17</v>
      </c>
      <c r="C17" s="5">
        <v>14169</v>
      </c>
      <c r="D17" s="5">
        <v>12351</v>
      </c>
      <c r="E17" s="5">
        <v>9743</v>
      </c>
      <c r="F17" s="5">
        <v>6703</v>
      </c>
      <c r="G17" s="5">
        <v>35771</v>
      </c>
      <c r="H17" s="5">
        <v>34520</v>
      </c>
      <c r="I17" s="5">
        <v>8156</v>
      </c>
      <c r="J17" s="4">
        <v>73</v>
      </c>
      <c r="N17" s="5">
        <v>121486</v>
      </c>
    </row>
    <row r="18" spans="1:14">
      <c r="C18" s="6">
        <v>38870</v>
      </c>
      <c r="D18" s="6">
        <v>49108</v>
      </c>
      <c r="E18" s="6">
        <v>52692</v>
      </c>
      <c r="F18" s="6">
        <v>57194</v>
      </c>
      <c r="G18" s="6">
        <v>61321</v>
      </c>
      <c r="H18" s="6">
        <v>69086</v>
      </c>
      <c r="I18" s="6">
        <v>72043</v>
      </c>
      <c r="J18" s="6">
        <v>70260</v>
      </c>
      <c r="N18" s="6">
        <v>59473</v>
      </c>
    </row>
    <row r="19" spans="1:14">
      <c r="A19" s="3" t="s">
        <v>18</v>
      </c>
      <c r="C19" s="5">
        <v>12006</v>
      </c>
      <c r="D19" s="5">
        <v>10720</v>
      </c>
      <c r="E19" s="5">
        <v>8499</v>
      </c>
      <c r="F19" s="5">
        <v>5693</v>
      </c>
      <c r="G19" s="5">
        <v>31266</v>
      </c>
      <c r="H19" s="5">
        <v>26289</v>
      </c>
      <c r="I19" s="5">
        <v>32474</v>
      </c>
      <c r="J19" s="5">
        <v>7274</v>
      </c>
      <c r="K19" s="4">
        <v>102</v>
      </c>
      <c r="N19" s="5">
        <v>134323</v>
      </c>
    </row>
    <row r="20" spans="1:14">
      <c r="C20" s="6">
        <v>38862</v>
      </c>
      <c r="D20" s="6">
        <v>49315</v>
      </c>
      <c r="E20" s="6">
        <v>52414</v>
      </c>
      <c r="F20" s="6">
        <v>57635</v>
      </c>
      <c r="G20" s="6">
        <v>60459</v>
      </c>
      <c r="H20" s="6">
        <v>68846</v>
      </c>
      <c r="I20" s="6">
        <v>74975</v>
      </c>
      <c r="J20" s="6">
        <v>76688</v>
      </c>
      <c r="K20" s="6">
        <v>70820</v>
      </c>
      <c r="N20" s="6">
        <v>63048</v>
      </c>
    </row>
    <row r="21" spans="1:14">
      <c r="A21" s="3" t="s">
        <v>19</v>
      </c>
      <c r="C21" s="5">
        <v>9406</v>
      </c>
      <c r="D21" s="5">
        <v>8599</v>
      </c>
      <c r="E21" s="5">
        <v>6480</v>
      </c>
      <c r="F21" s="5">
        <v>4608</v>
      </c>
      <c r="G21" s="5">
        <v>25947</v>
      </c>
      <c r="H21" s="5">
        <v>20661</v>
      </c>
      <c r="I21" s="5">
        <v>23353</v>
      </c>
      <c r="J21" s="5">
        <v>25272</v>
      </c>
      <c r="K21" s="5">
        <v>6131</v>
      </c>
      <c r="L21" s="4">
        <v>68</v>
      </c>
      <c r="N21" s="5">
        <v>130525</v>
      </c>
    </row>
    <row r="22" spans="1:14">
      <c r="C22" s="6">
        <v>38485</v>
      </c>
      <c r="D22" s="6">
        <v>49266</v>
      </c>
      <c r="E22" s="6">
        <v>51780</v>
      </c>
      <c r="F22" s="6">
        <v>56156</v>
      </c>
      <c r="G22" s="6">
        <v>59017</v>
      </c>
      <c r="H22" s="6">
        <v>67108</v>
      </c>
      <c r="I22" s="6">
        <v>73375</v>
      </c>
      <c r="J22" s="6">
        <v>79676</v>
      </c>
      <c r="K22" s="6">
        <v>81504</v>
      </c>
      <c r="L22" s="6">
        <v>74344</v>
      </c>
      <c r="N22" s="6">
        <v>65349</v>
      </c>
    </row>
    <row r="23" spans="1:14">
      <c r="A23" s="3" t="s">
        <v>20</v>
      </c>
      <c r="C23" s="5">
        <v>7983</v>
      </c>
      <c r="D23" s="5">
        <v>7028</v>
      </c>
      <c r="E23" s="5">
        <v>5621</v>
      </c>
      <c r="F23" s="5">
        <v>4057</v>
      </c>
      <c r="G23" s="5">
        <v>22498</v>
      </c>
      <c r="H23" s="5">
        <v>18977</v>
      </c>
      <c r="I23" s="5">
        <v>20461</v>
      </c>
      <c r="J23" s="5">
        <v>19625</v>
      </c>
      <c r="K23" s="5">
        <v>20493</v>
      </c>
      <c r="L23" s="5">
        <v>3427</v>
      </c>
      <c r="M23" s="4">
        <v>61</v>
      </c>
      <c r="N23" s="5">
        <v>130231</v>
      </c>
    </row>
    <row r="24" spans="1:14">
      <c r="C24" s="6">
        <v>38496</v>
      </c>
      <c r="D24" s="6">
        <v>47902</v>
      </c>
      <c r="E24" s="6">
        <v>49897</v>
      </c>
      <c r="F24" s="6">
        <v>55067</v>
      </c>
      <c r="G24" s="6">
        <v>57581</v>
      </c>
      <c r="H24" s="6">
        <v>63732</v>
      </c>
      <c r="I24" s="6">
        <v>69670</v>
      </c>
      <c r="J24" s="6">
        <v>75533</v>
      </c>
      <c r="K24" s="6">
        <v>82772</v>
      </c>
      <c r="L24" s="6">
        <v>84756</v>
      </c>
      <c r="M24" s="6">
        <v>71083</v>
      </c>
      <c r="N24" s="6">
        <v>65665</v>
      </c>
    </row>
    <row r="25" spans="1:14">
      <c r="A25" s="3" t="s">
        <v>21</v>
      </c>
      <c r="C25" s="5">
        <v>6025</v>
      </c>
      <c r="D25" s="5">
        <v>5376</v>
      </c>
      <c r="E25" s="5">
        <v>4450</v>
      </c>
      <c r="F25" s="5">
        <v>2955</v>
      </c>
      <c r="G25" s="5">
        <v>17342</v>
      </c>
      <c r="H25" s="5">
        <v>14547</v>
      </c>
      <c r="I25" s="5">
        <v>17344</v>
      </c>
      <c r="J25" s="5">
        <v>15091</v>
      </c>
      <c r="K25" s="5">
        <v>10571</v>
      </c>
      <c r="L25" s="5">
        <v>8172</v>
      </c>
      <c r="M25" s="5">
        <v>1313</v>
      </c>
      <c r="N25" s="5">
        <v>103186</v>
      </c>
    </row>
    <row r="26" spans="1:14">
      <c r="C26" s="6">
        <v>36492</v>
      </c>
      <c r="D26" s="6">
        <v>46666</v>
      </c>
      <c r="E26" s="6">
        <v>49132</v>
      </c>
      <c r="F26" s="6">
        <v>51995</v>
      </c>
      <c r="G26" s="6">
        <v>54614</v>
      </c>
      <c r="H26" s="6">
        <v>59725</v>
      </c>
      <c r="I26" s="6">
        <v>63758</v>
      </c>
      <c r="J26" s="6">
        <v>68972</v>
      </c>
      <c r="K26" s="6">
        <v>75515</v>
      </c>
      <c r="L26" s="6">
        <v>86846</v>
      </c>
      <c r="M26" s="6">
        <v>83713</v>
      </c>
      <c r="N26" s="6">
        <v>62252</v>
      </c>
    </row>
    <row r="27" spans="1:14">
      <c r="A27" s="3" t="s">
        <v>22</v>
      </c>
      <c r="C27" s="5">
        <v>4061</v>
      </c>
      <c r="D27" s="5">
        <v>3866</v>
      </c>
      <c r="E27" s="5">
        <v>3125</v>
      </c>
      <c r="F27" s="5">
        <v>2093</v>
      </c>
      <c r="G27" s="5">
        <v>12964</v>
      </c>
      <c r="H27" s="5">
        <v>10881</v>
      </c>
      <c r="I27" s="5">
        <v>12573</v>
      </c>
      <c r="J27" s="5">
        <v>9902</v>
      </c>
      <c r="K27" s="5">
        <v>6934</v>
      </c>
      <c r="L27" s="5">
        <v>3788</v>
      </c>
      <c r="M27" s="5">
        <v>2815</v>
      </c>
      <c r="N27" s="5">
        <v>73002</v>
      </c>
    </row>
    <row r="28" spans="1:14">
      <c r="C28" s="6">
        <v>34592</v>
      </c>
      <c r="D28" s="6">
        <v>42917</v>
      </c>
      <c r="E28" s="6">
        <v>44645</v>
      </c>
      <c r="F28" s="6">
        <v>49801</v>
      </c>
      <c r="G28" s="6">
        <v>51466</v>
      </c>
      <c r="H28" s="6">
        <v>57578</v>
      </c>
      <c r="I28" s="6">
        <v>60342</v>
      </c>
      <c r="J28" s="6">
        <v>63425</v>
      </c>
      <c r="K28" s="6">
        <v>66590</v>
      </c>
      <c r="L28" s="6">
        <v>76155</v>
      </c>
      <c r="M28" s="6">
        <v>85460</v>
      </c>
      <c r="N28" s="6">
        <v>57825</v>
      </c>
    </row>
    <row r="29" spans="1:14">
      <c r="A29" s="3" t="s">
        <v>23</v>
      </c>
      <c r="C29" s="5">
        <v>3128</v>
      </c>
      <c r="D29" s="5">
        <v>2779</v>
      </c>
      <c r="E29" s="5">
        <v>2239</v>
      </c>
      <c r="F29" s="5">
        <v>1532</v>
      </c>
      <c r="G29" s="5">
        <v>9368</v>
      </c>
      <c r="H29" s="5">
        <v>7476</v>
      </c>
      <c r="I29" s="5">
        <v>6855</v>
      </c>
      <c r="J29" s="5">
        <v>5610</v>
      </c>
      <c r="K29" s="5">
        <v>4259</v>
      </c>
      <c r="L29" s="5">
        <v>2663</v>
      </c>
      <c r="M29" s="5">
        <v>2574</v>
      </c>
      <c r="N29" s="5">
        <v>48483</v>
      </c>
    </row>
    <row r="30" spans="1:14">
      <c r="C30" s="6">
        <v>28919</v>
      </c>
      <c r="D30" s="6">
        <v>35526</v>
      </c>
      <c r="E30" s="6">
        <v>38351</v>
      </c>
      <c r="F30" s="6">
        <v>42975</v>
      </c>
      <c r="G30" s="6">
        <v>47108</v>
      </c>
      <c r="H30" s="6">
        <v>54161</v>
      </c>
      <c r="I30" s="6">
        <v>58165</v>
      </c>
      <c r="J30" s="6">
        <v>61817</v>
      </c>
      <c r="K30" s="6">
        <v>61824</v>
      </c>
      <c r="L30" s="6">
        <v>64300</v>
      </c>
      <c r="M30" s="6">
        <v>78030</v>
      </c>
      <c r="N30" s="6">
        <v>52967</v>
      </c>
    </row>
    <row r="31" spans="1:14">
      <c r="A31" s="3" t="s">
        <v>24</v>
      </c>
      <c r="C31" s="5">
        <v>112685</v>
      </c>
      <c r="D31" s="5">
        <v>94901</v>
      </c>
      <c r="E31" s="5">
        <v>72698</v>
      </c>
      <c r="F31" s="5">
        <v>48515</v>
      </c>
      <c r="G31" s="5">
        <v>220409</v>
      </c>
      <c r="H31" s="5">
        <v>144181</v>
      </c>
      <c r="I31" s="5">
        <v>121265</v>
      </c>
      <c r="J31" s="5">
        <v>82847</v>
      </c>
      <c r="K31" s="5">
        <v>48490</v>
      </c>
      <c r="L31" s="5">
        <v>18118</v>
      </c>
      <c r="M31" s="5">
        <v>6763</v>
      </c>
      <c r="N31" s="5">
        <v>970872</v>
      </c>
    </row>
    <row r="32" spans="1:14">
      <c r="C32" s="6">
        <v>32241</v>
      </c>
      <c r="D32" s="6">
        <v>43963</v>
      </c>
      <c r="E32" s="6">
        <v>49247</v>
      </c>
      <c r="F32" s="6">
        <v>54529</v>
      </c>
      <c r="G32" s="6">
        <v>58236</v>
      </c>
      <c r="H32" s="6">
        <v>65154</v>
      </c>
      <c r="I32" s="6">
        <v>69495</v>
      </c>
      <c r="J32" s="6">
        <v>73322</v>
      </c>
      <c r="K32" s="6">
        <v>76851</v>
      </c>
      <c r="L32" s="6">
        <v>80855</v>
      </c>
      <c r="M32" s="6">
        <v>82163</v>
      </c>
      <c r="N32" s="6">
        <v>59210</v>
      </c>
    </row>
    <row r="33" spans="4:15">
      <c r="D33" s="3" t="s">
        <v>25</v>
      </c>
    </row>
    <row r="34" spans="4:15" ht="14">
      <c r="L34" s="7" t="s">
        <v>26</v>
      </c>
      <c r="O34" s="8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V27"/>
  <sheetViews>
    <sheetView zoomScale="118" zoomScaleNormal="160" workbookViewId="0">
      <selection activeCell="A5" sqref="A5:M1048576"/>
    </sheetView>
  </sheetViews>
  <sheetFormatPr baseColWidth="10" defaultColWidth="8.83203125" defaultRowHeight="13"/>
  <cols>
    <col min="1" max="1" width="5.83203125" bestFit="1" customWidth="1"/>
    <col min="2" max="13" width="5.1640625" bestFit="1" customWidth="1"/>
  </cols>
  <sheetData>
    <row r="5" spans="1:22">
      <c r="A5" s="3" t="s">
        <v>5</v>
      </c>
      <c r="B5" s="4">
        <v>1</v>
      </c>
      <c r="C5" s="4">
        <v>2</v>
      </c>
      <c r="D5" s="4">
        <v>3</v>
      </c>
      <c r="E5" s="4">
        <v>4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O5">
        <v>2</v>
      </c>
      <c r="P5">
        <v>7</v>
      </c>
      <c r="Q5">
        <v>12</v>
      </c>
      <c r="R5">
        <v>17</v>
      </c>
      <c r="S5">
        <v>22</v>
      </c>
      <c r="T5">
        <v>27</v>
      </c>
      <c r="U5">
        <v>32</v>
      </c>
      <c r="V5">
        <v>37</v>
      </c>
    </row>
    <row r="6" spans="1:22">
      <c r="A6" s="3" t="s">
        <v>14</v>
      </c>
      <c r="B6" s="5">
        <v>17422</v>
      </c>
      <c r="C6" s="5">
        <v>8195</v>
      </c>
      <c r="D6" s="5">
        <v>2700</v>
      </c>
      <c r="E6" s="4">
        <v>695</v>
      </c>
      <c r="F6" s="4">
        <v>347</v>
      </c>
      <c r="M6" s="5">
        <v>29359</v>
      </c>
    </row>
    <row r="7" spans="1:22">
      <c r="B7" s="6">
        <v>31032</v>
      </c>
      <c r="C7" s="6">
        <v>37619</v>
      </c>
      <c r="D7" s="6">
        <v>34062</v>
      </c>
      <c r="E7" s="6">
        <v>32962</v>
      </c>
      <c r="F7" s="6">
        <v>33532</v>
      </c>
      <c r="M7" s="6">
        <v>33224</v>
      </c>
      <c r="O7">
        <f>SUMPRODUCT(B6:E6,B7:E7)/SUM(B6:E6)</f>
        <v>33220.846511788222</v>
      </c>
      <c r="P7" s="9">
        <f>F7</f>
        <v>33532</v>
      </c>
      <c r="Q7">
        <f>G7</f>
        <v>0</v>
      </c>
      <c r="R7">
        <f t="shared" ref="R7:V7" si="0">H7</f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</row>
    <row r="8" spans="1:22">
      <c r="A8" s="3" t="s">
        <v>10</v>
      </c>
      <c r="B8" s="5">
        <v>22207</v>
      </c>
      <c r="C8" s="5">
        <v>21575</v>
      </c>
      <c r="D8" s="5">
        <v>17977</v>
      </c>
      <c r="E8" s="5">
        <v>11521</v>
      </c>
      <c r="F8" s="5">
        <v>16980</v>
      </c>
      <c r="G8" s="4">
        <v>90</v>
      </c>
      <c r="M8" s="5">
        <v>90350</v>
      </c>
    </row>
    <row r="9" spans="1:22">
      <c r="B9" s="6">
        <v>38940</v>
      </c>
      <c r="C9" s="6">
        <v>49074</v>
      </c>
      <c r="D9" s="6">
        <v>52503</v>
      </c>
      <c r="E9" s="6">
        <v>55834</v>
      </c>
      <c r="F9" s="6">
        <v>56097</v>
      </c>
      <c r="G9" s="6">
        <v>50068</v>
      </c>
      <c r="M9" s="6">
        <v>49448</v>
      </c>
      <c r="O9">
        <f>SUMPRODUCT(B8:E8,B9:E9)/SUM(B8:E8)</f>
        <v>47906.960630458518</v>
      </c>
      <c r="P9" s="9">
        <f>F9</f>
        <v>56097</v>
      </c>
      <c r="Q9">
        <f>G9</f>
        <v>50068</v>
      </c>
      <c r="R9">
        <f t="shared" ref="R9" si="1">H9</f>
        <v>0</v>
      </c>
      <c r="S9">
        <f t="shared" ref="S9" si="2">I9</f>
        <v>0</v>
      </c>
      <c r="T9">
        <f t="shared" ref="T9" si="3">J9</f>
        <v>0</v>
      </c>
      <c r="U9">
        <f t="shared" ref="U9" si="4">K9</f>
        <v>0</v>
      </c>
      <c r="V9">
        <f t="shared" ref="V9" si="5">L9</f>
        <v>0</v>
      </c>
    </row>
    <row r="10" spans="1:22">
      <c r="A10" s="3" t="s">
        <v>11</v>
      </c>
      <c r="B10" s="5">
        <v>16278</v>
      </c>
      <c r="C10" s="5">
        <v>14412</v>
      </c>
      <c r="D10" s="5">
        <v>11864</v>
      </c>
      <c r="E10" s="5">
        <v>8658</v>
      </c>
      <c r="F10" s="5">
        <v>47926</v>
      </c>
      <c r="G10" s="5">
        <v>10740</v>
      </c>
      <c r="H10" s="4">
        <v>49</v>
      </c>
      <c r="M10" s="5">
        <v>109927</v>
      </c>
    </row>
    <row r="11" spans="1:22">
      <c r="B11" s="6">
        <v>38755</v>
      </c>
      <c r="C11" s="6">
        <v>48737</v>
      </c>
      <c r="D11" s="6">
        <v>52044</v>
      </c>
      <c r="E11" s="6">
        <v>55996</v>
      </c>
      <c r="F11" s="6">
        <v>60864</v>
      </c>
      <c r="G11" s="6">
        <v>65039</v>
      </c>
      <c r="H11" s="6">
        <v>55152</v>
      </c>
      <c r="M11" s="6">
        <v>55070</v>
      </c>
      <c r="O11">
        <f>SUMPRODUCT(B10:E10,B11:E11)/SUM(B10:E10)</f>
        <v>47557.504452081543</v>
      </c>
      <c r="P11" s="9">
        <f>F11</f>
        <v>60864</v>
      </c>
      <c r="Q11">
        <f>G11</f>
        <v>65039</v>
      </c>
      <c r="R11">
        <f t="shared" ref="R11" si="6">H11</f>
        <v>55152</v>
      </c>
      <c r="S11">
        <f t="shared" ref="S11" si="7">I11</f>
        <v>0</v>
      </c>
      <c r="T11">
        <f t="shared" ref="T11" si="8">J11</f>
        <v>0</v>
      </c>
      <c r="U11">
        <f t="shared" ref="U11" si="9">K11</f>
        <v>0</v>
      </c>
      <c r="V11">
        <f t="shared" ref="V11" si="10">L11</f>
        <v>0</v>
      </c>
    </row>
    <row r="12" spans="1:22">
      <c r="A12" s="3" t="s">
        <v>12</v>
      </c>
      <c r="B12" s="5">
        <v>14169</v>
      </c>
      <c r="C12" s="5">
        <v>12351</v>
      </c>
      <c r="D12" s="5">
        <v>9743</v>
      </c>
      <c r="E12" s="5">
        <v>6703</v>
      </c>
      <c r="F12" s="5">
        <v>35771</v>
      </c>
      <c r="G12" s="5">
        <v>34520</v>
      </c>
      <c r="H12" s="5">
        <v>8156</v>
      </c>
      <c r="I12" s="4">
        <v>73</v>
      </c>
      <c r="M12" s="5">
        <v>121486</v>
      </c>
    </row>
    <row r="13" spans="1:22">
      <c r="B13" s="6">
        <v>38870</v>
      </c>
      <c r="C13" s="6">
        <v>49108</v>
      </c>
      <c r="D13" s="6">
        <v>52692</v>
      </c>
      <c r="E13" s="6">
        <v>57194</v>
      </c>
      <c r="F13" s="6">
        <v>61321</v>
      </c>
      <c r="G13" s="6">
        <v>69086</v>
      </c>
      <c r="H13" s="6">
        <v>72043</v>
      </c>
      <c r="I13" s="6">
        <v>70260</v>
      </c>
      <c r="M13" s="6">
        <v>59473</v>
      </c>
      <c r="O13">
        <f>SUMPRODUCT(B12:E12,B13:E13)/SUM(B12:E12)</f>
        <v>47805.973932877161</v>
      </c>
      <c r="P13" s="9">
        <f>F13</f>
        <v>61321</v>
      </c>
      <c r="Q13">
        <f>G13</f>
        <v>69086</v>
      </c>
      <c r="R13">
        <f t="shared" ref="R13" si="11">H13</f>
        <v>72043</v>
      </c>
      <c r="S13">
        <f t="shared" ref="S13" si="12">I13</f>
        <v>70260</v>
      </c>
      <c r="T13">
        <f t="shared" ref="T13" si="13">J13</f>
        <v>0</v>
      </c>
      <c r="U13">
        <f t="shared" ref="U13" si="14">K13</f>
        <v>0</v>
      </c>
      <c r="V13">
        <f t="shared" ref="V13" si="15">L13</f>
        <v>0</v>
      </c>
    </row>
    <row r="14" spans="1:22">
      <c r="A14" s="3" t="s">
        <v>18</v>
      </c>
      <c r="B14" s="5">
        <v>12006</v>
      </c>
      <c r="C14" s="5">
        <v>10720</v>
      </c>
      <c r="D14" s="5">
        <v>8499</v>
      </c>
      <c r="E14" s="5">
        <v>5693</v>
      </c>
      <c r="F14" s="5">
        <v>31266</v>
      </c>
      <c r="G14" s="5">
        <v>26289</v>
      </c>
      <c r="H14" s="5">
        <v>32474</v>
      </c>
      <c r="I14" s="5">
        <v>7274</v>
      </c>
      <c r="J14" s="4">
        <v>102</v>
      </c>
      <c r="M14" s="5">
        <v>134323</v>
      </c>
    </row>
    <row r="15" spans="1:22">
      <c r="B15" s="6">
        <v>38862</v>
      </c>
      <c r="C15" s="6">
        <v>49315</v>
      </c>
      <c r="D15" s="6">
        <v>52414</v>
      </c>
      <c r="E15" s="6">
        <v>57635</v>
      </c>
      <c r="F15" s="6">
        <v>60459</v>
      </c>
      <c r="G15" s="6">
        <v>68846</v>
      </c>
      <c r="H15" s="6">
        <v>74975</v>
      </c>
      <c r="I15" s="6">
        <v>76688</v>
      </c>
      <c r="J15" s="6">
        <v>70820</v>
      </c>
      <c r="M15" s="6">
        <v>63048</v>
      </c>
      <c r="O15">
        <f>SUMPRODUCT(B14:E14,B15:E15)/SUM(B14:E14)</f>
        <v>47912.037840619749</v>
      </c>
      <c r="P15" s="9">
        <f>F15</f>
        <v>60459</v>
      </c>
      <c r="Q15">
        <f>G15</f>
        <v>68846</v>
      </c>
      <c r="R15">
        <f t="shared" ref="R15" si="16">H15</f>
        <v>74975</v>
      </c>
      <c r="S15">
        <f t="shared" ref="S15" si="17">I15</f>
        <v>76688</v>
      </c>
      <c r="T15">
        <f t="shared" ref="T15" si="18">J15</f>
        <v>70820</v>
      </c>
      <c r="U15">
        <f t="shared" ref="U15" si="19">K15</f>
        <v>0</v>
      </c>
      <c r="V15">
        <f t="shared" ref="V15" si="20">L15</f>
        <v>0</v>
      </c>
    </row>
    <row r="16" spans="1:22">
      <c r="A16" s="3" t="s">
        <v>19</v>
      </c>
      <c r="B16" s="5">
        <v>9406</v>
      </c>
      <c r="C16" s="5">
        <v>8599</v>
      </c>
      <c r="D16" s="5">
        <v>6480</v>
      </c>
      <c r="E16" s="5">
        <v>4608</v>
      </c>
      <c r="F16" s="5">
        <v>25947</v>
      </c>
      <c r="G16" s="5">
        <v>20661</v>
      </c>
      <c r="H16" s="5">
        <v>23353</v>
      </c>
      <c r="I16" s="5">
        <v>25272</v>
      </c>
      <c r="J16" s="5">
        <v>6131</v>
      </c>
      <c r="K16" s="4">
        <v>68</v>
      </c>
      <c r="M16" s="5">
        <v>130525</v>
      </c>
    </row>
    <row r="17" spans="1:22">
      <c r="B17" s="6">
        <v>38485</v>
      </c>
      <c r="C17" s="6">
        <v>49266</v>
      </c>
      <c r="D17" s="6">
        <v>51780</v>
      </c>
      <c r="E17" s="6">
        <v>56156</v>
      </c>
      <c r="F17" s="6">
        <v>59017</v>
      </c>
      <c r="G17" s="6">
        <v>67108</v>
      </c>
      <c r="H17" s="6">
        <v>73375</v>
      </c>
      <c r="I17" s="6">
        <v>79676</v>
      </c>
      <c r="J17" s="6">
        <v>81504</v>
      </c>
      <c r="K17" s="6">
        <v>74344</v>
      </c>
      <c r="M17" s="6">
        <v>65349</v>
      </c>
      <c r="O17">
        <f>SUMPRODUCT(B16:E16,B17:E17)/SUM(B16:E16)</f>
        <v>47431.66713642457</v>
      </c>
      <c r="P17" s="9">
        <f>F17</f>
        <v>59017</v>
      </c>
      <c r="Q17">
        <f>G17</f>
        <v>67108</v>
      </c>
      <c r="R17">
        <f t="shared" ref="R17" si="21">H17</f>
        <v>73375</v>
      </c>
      <c r="S17">
        <f t="shared" ref="S17" si="22">I17</f>
        <v>79676</v>
      </c>
      <c r="T17">
        <f t="shared" ref="T17" si="23">J17</f>
        <v>81504</v>
      </c>
      <c r="U17">
        <f t="shared" ref="U17" si="24">K17</f>
        <v>74344</v>
      </c>
      <c r="V17">
        <f t="shared" ref="V17" si="25">L17</f>
        <v>0</v>
      </c>
    </row>
    <row r="18" spans="1:22">
      <c r="A18" s="3" t="s">
        <v>20</v>
      </c>
      <c r="B18" s="5">
        <v>7983</v>
      </c>
      <c r="C18" s="5">
        <v>7028</v>
      </c>
      <c r="D18" s="5">
        <v>5621</v>
      </c>
      <c r="E18" s="5">
        <v>4057</v>
      </c>
      <c r="F18" s="5">
        <v>22498</v>
      </c>
      <c r="G18" s="5">
        <v>18977</v>
      </c>
      <c r="H18" s="5">
        <v>20461</v>
      </c>
      <c r="I18" s="5">
        <v>19625</v>
      </c>
      <c r="J18" s="5">
        <v>20493</v>
      </c>
      <c r="K18" s="5">
        <v>3427</v>
      </c>
      <c r="L18" s="4">
        <v>61</v>
      </c>
      <c r="M18" s="5">
        <v>130231</v>
      </c>
    </row>
    <row r="19" spans="1:22">
      <c r="B19" s="6">
        <v>38496</v>
      </c>
      <c r="C19" s="6">
        <v>47902</v>
      </c>
      <c r="D19" s="6">
        <v>49897</v>
      </c>
      <c r="E19" s="6">
        <v>55067</v>
      </c>
      <c r="F19" s="6">
        <v>57581</v>
      </c>
      <c r="G19" s="6">
        <v>63732</v>
      </c>
      <c r="H19" s="6">
        <v>69670</v>
      </c>
      <c r="I19" s="6">
        <v>75533</v>
      </c>
      <c r="J19" s="6">
        <v>82772</v>
      </c>
      <c r="K19" s="6">
        <v>84756</v>
      </c>
      <c r="L19" s="6">
        <v>71083</v>
      </c>
      <c r="M19" s="6">
        <v>65665</v>
      </c>
      <c r="O19">
        <f>SUMPRODUCT(B18:E18,B19:E19)/SUM(B18:E18)</f>
        <v>46492.230548017338</v>
      </c>
      <c r="P19" s="9">
        <f>F19</f>
        <v>57581</v>
      </c>
      <c r="Q19">
        <f>G19</f>
        <v>63732</v>
      </c>
      <c r="R19">
        <f t="shared" ref="R19" si="26">H19</f>
        <v>69670</v>
      </c>
      <c r="S19">
        <f t="shared" ref="S19" si="27">I19</f>
        <v>75533</v>
      </c>
      <c r="T19">
        <f t="shared" ref="T19" si="28">J19</f>
        <v>82772</v>
      </c>
      <c r="U19">
        <f t="shared" ref="U19" si="29">K19</f>
        <v>84756</v>
      </c>
      <c r="V19">
        <f t="shared" ref="V19" si="30">L19</f>
        <v>71083</v>
      </c>
    </row>
    <row r="20" spans="1:22">
      <c r="A20" s="3" t="s">
        <v>21</v>
      </c>
      <c r="B20" s="5">
        <v>6025</v>
      </c>
      <c r="C20" s="5">
        <v>5376</v>
      </c>
      <c r="D20" s="5">
        <v>4450</v>
      </c>
      <c r="E20" s="5">
        <v>2955</v>
      </c>
      <c r="F20" s="5">
        <v>17342</v>
      </c>
      <c r="G20" s="5">
        <v>14547</v>
      </c>
      <c r="H20" s="5">
        <v>17344</v>
      </c>
      <c r="I20" s="5">
        <v>15091</v>
      </c>
      <c r="J20" s="5">
        <v>10571</v>
      </c>
      <c r="K20" s="5">
        <v>8172</v>
      </c>
      <c r="L20" s="5">
        <v>1313</v>
      </c>
      <c r="M20" s="5">
        <v>103186</v>
      </c>
    </row>
    <row r="21" spans="1:22">
      <c r="B21" s="6">
        <v>36492</v>
      </c>
      <c r="C21" s="6">
        <v>46666</v>
      </c>
      <c r="D21" s="6">
        <v>49132</v>
      </c>
      <c r="E21" s="6">
        <v>51995</v>
      </c>
      <c r="F21" s="6">
        <v>54614</v>
      </c>
      <c r="G21" s="6">
        <v>59725</v>
      </c>
      <c r="H21" s="6">
        <v>63758</v>
      </c>
      <c r="I21" s="6">
        <v>68972</v>
      </c>
      <c r="J21" s="6">
        <v>75515</v>
      </c>
      <c r="K21" s="6">
        <v>86846</v>
      </c>
      <c r="L21" s="6">
        <v>83713</v>
      </c>
      <c r="M21" s="6">
        <v>62252</v>
      </c>
      <c r="O21">
        <f>SUMPRODUCT(B20:E20,B21:E21)/SUM(B20:E20)</f>
        <v>44827.360470062747</v>
      </c>
      <c r="P21" s="9">
        <f>F21</f>
        <v>54614</v>
      </c>
      <c r="Q21">
        <f>G21</f>
        <v>59725</v>
      </c>
      <c r="R21">
        <f t="shared" ref="R21" si="31">H21</f>
        <v>63758</v>
      </c>
      <c r="S21">
        <f t="shared" ref="S21" si="32">I21</f>
        <v>68972</v>
      </c>
      <c r="T21">
        <f t="shared" ref="T21" si="33">J21</f>
        <v>75515</v>
      </c>
      <c r="U21">
        <f t="shared" ref="U21" si="34">K21</f>
        <v>86846</v>
      </c>
      <c r="V21">
        <f t="shared" ref="V21" si="35">L21</f>
        <v>83713</v>
      </c>
    </row>
    <row r="22" spans="1:22">
      <c r="A22" s="3" t="s">
        <v>22</v>
      </c>
      <c r="B22" s="5">
        <v>4061</v>
      </c>
      <c r="C22" s="5">
        <v>3866</v>
      </c>
      <c r="D22" s="5">
        <v>3125</v>
      </c>
      <c r="E22" s="5">
        <v>2093</v>
      </c>
      <c r="F22" s="5">
        <v>12964</v>
      </c>
      <c r="G22" s="5">
        <v>10881</v>
      </c>
      <c r="H22" s="5">
        <v>12573</v>
      </c>
      <c r="I22" s="5">
        <v>9902</v>
      </c>
      <c r="J22" s="5">
        <v>6934</v>
      </c>
      <c r="K22" s="5">
        <v>3788</v>
      </c>
      <c r="L22" s="5">
        <v>2815</v>
      </c>
      <c r="M22" s="5">
        <v>73002</v>
      </c>
    </row>
    <row r="23" spans="1:22">
      <c r="B23" s="6">
        <v>34592</v>
      </c>
      <c r="C23" s="6">
        <v>42917</v>
      </c>
      <c r="D23" s="6">
        <v>44645</v>
      </c>
      <c r="E23" s="6">
        <v>49801</v>
      </c>
      <c r="F23" s="6">
        <v>51466</v>
      </c>
      <c r="G23" s="6">
        <v>57578</v>
      </c>
      <c r="H23" s="6">
        <v>60342</v>
      </c>
      <c r="I23" s="6">
        <v>63425</v>
      </c>
      <c r="J23" s="6">
        <v>66590</v>
      </c>
      <c r="K23" s="6">
        <v>76155</v>
      </c>
      <c r="L23" s="6">
        <v>85460</v>
      </c>
      <c r="M23" s="6">
        <v>57825</v>
      </c>
      <c r="O23">
        <f>SUMPRODUCT(B22:E22,B23:E23)/SUM(B22:E22)</f>
        <v>41851.985697984026</v>
      </c>
      <c r="P23" s="9">
        <f>F23</f>
        <v>51466</v>
      </c>
      <c r="Q23">
        <f>G23</f>
        <v>57578</v>
      </c>
      <c r="R23">
        <f t="shared" ref="R23" si="36">H23</f>
        <v>60342</v>
      </c>
      <c r="S23">
        <f t="shared" ref="S23" si="37">I23</f>
        <v>63425</v>
      </c>
      <c r="T23">
        <f t="shared" ref="T23" si="38">J23</f>
        <v>66590</v>
      </c>
      <c r="U23">
        <f t="shared" ref="U23" si="39">K23</f>
        <v>76155</v>
      </c>
      <c r="V23">
        <f t="shared" ref="V23" si="40">L23</f>
        <v>85460</v>
      </c>
    </row>
    <row r="24" spans="1:22">
      <c r="A24" s="3" t="s">
        <v>23</v>
      </c>
      <c r="B24" s="5">
        <v>3128</v>
      </c>
      <c r="C24" s="5">
        <v>2779</v>
      </c>
      <c r="D24" s="5">
        <v>2239</v>
      </c>
      <c r="E24" s="5">
        <v>1532</v>
      </c>
      <c r="F24" s="5">
        <v>9368</v>
      </c>
      <c r="G24" s="5">
        <v>7476</v>
      </c>
      <c r="H24" s="5">
        <v>6855</v>
      </c>
      <c r="I24" s="5">
        <v>5610</v>
      </c>
      <c r="J24" s="5">
        <v>4259</v>
      </c>
      <c r="K24" s="5">
        <v>2663</v>
      </c>
      <c r="L24" s="5">
        <v>2574</v>
      </c>
      <c r="M24" s="5">
        <v>48483</v>
      </c>
    </row>
    <row r="25" spans="1:22">
      <c r="B25" s="6">
        <v>28919</v>
      </c>
      <c r="C25" s="6">
        <v>35526</v>
      </c>
      <c r="D25" s="6">
        <v>38351</v>
      </c>
      <c r="E25" s="6">
        <v>42975</v>
      </c>
      <c r="F25" s="6">
        <v>47108</v>
      </c>
      <c r="G25" s="6">
        <v>54161</v>
      </c>
      <c r="H25" s="6">
        <v>58165</v>
      </c>
      <c r="I25" s="6">
        <v>61817</v>
      </c>
      <c r="J25" s="6">
        <v>61824</v>
      </c>
      <c r="K25" s="6">
        <v>64300</v>
      </c>
      <c r="L25" s="6">
        <v>78030</v>
      </c>
      <c r="M25" s="6">
        <v>52967</v>
      </c>
      <c r="O25">
        <f>SUMPRODUCT(B24:E24,B25:E25)/SUM(B24:E24)</f>
        <v>35223.287352758838</v>
      </c>
      <c r="P25" s="9">
        <f>F25</f>
        <v>47108</v>
      </c>
      <c r="Q25">
        <f>G25</f>
        <v>54161</v>
      </c>
      <c r="R25">
        <f t="shared" ref="R25" si="41">H25</f>
        <v>58165</v>
      </c>
      <c r="S25">
        <f t="shared" ref="S25" si="42">I25</f>
        <v>61817</v>
      </c>
      <c r="T25">
        <f t="shared" ref="T25" si="43">J25</f>
        <v>61824</v>
      </c>
      <c r="U25">
        <f t="shared" ref="U25" si="44">K25</f>
        <v>64300</v>
      </c>
      <c r="V25">
        <f t="shared" ref="V25" si="45">L25</f>
        <v>78030</v>
      </c>
    </row>
    <row r="26" spans="1:22">
      <c r="A26" s="3" t="s">
        <v>13</v>
      </c>
      <c r="B26" s="5">
        <v>112685</v>
      </c>
      <c r="C26" s="5">
        <v>94901</v>
      </c>
      <c r="D26" s="5">
        <v>72698</v>
      </c>
      <c r="E26" s="5">
        <v>48515</v>
      </c>
      <c r="F26" s="5">
        <v>220409</v>
      </c>
      <c r="G26" s="5">
        <v>144181</v>
      </c>
      <c r="H26" s="5">
        <v>121265</v>
      </c>
      <c r="I26" s="5">
        <v>82847</v>
      </c>
      <c r="J26" s="5">
        <v>48490</v>
      </c>
      <c r="K26" s="5">
        <v>18118</v>
      </c>
      <c r="L26" s="5">
        <v>6763</v>
      </c>
      <c r="M26" s="5">
        <v>970872</v>
      </c>
    </row>
    <row r="27" spans="1:22">
      <c r="B27" s="6">
        <v>32241</v>
      </c>
      <c r="C27" s="6">
        <v>43963</v>
      </c>
      <c r="D27" s="6">
        <v>49247</v>
      </c>
      <c r="E27" s="6">
        <v>54529</v>
      </c>
      <c r="F27" s="6">
        <v>58236</v>
      </c>
      <c r="G27" s="6">
        <v>65154</v>
      </c>
      <c r="H27" s="6">
        <v>69495</v>
      </c>
      <c r="I27" s="6">
        <v>73322</v>
      </c>
      <c r="J27" s="6">
        <v>76851</v>
      </c>
      <c r="K27" s="6">
        <v>80855</v>
      </c>
      <c r="L27" s="6">
        <v>82163</v>
      </c>
      <c r="M27" s="6">
        <v>59210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V25"/>
  <sheetViews>
    <sheetView tabSelected="1" workbookViewId="0">
      <selection activeCell="J40" sqref="J40"/>
    </sheetView>
  </sheetViews>
  <sheetFormatPr baseColWidth="10" defaultColWidth="8.83203125" defaultRowHeight="13"/>
  <sheetData>
    <row r="3" spans="1:22">
      <c r="A3" s="3" t="s">
        <v>5</v>
      </c>
      <c r="B3" s="4">
        <v>1</v>
      </c>
      <c r="C3" s="4">
        <v>2</v>
      </c>
      <c r="D3" s="4">
        <v>3</v>
      </c>
      <c r="E3" s="4">
        <v>4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O3">
        <v>2</v>
      </c>
      <c r="P3">
        <v>7</v>
      </c>
      <c r="Q3">
        <v>12</v>
      </c>
      <c r="R3">
        <v>17</v>
      </c>
      <c r="S3">
        <v>22</v>
      </c>
      <c r="T3">
        <v>27</v>
      </c>
      <c r="U3">
        <v>32</v>
      </c>
      <c r="V3">
        <v>37</v>
      </c>
    </row>
    <row r="4" spans="1:22">
      <c r="A4" s="3" t="s">
        <v>14</v>
      </c>
      <c r="B4" s="5">
        <v>17422</v>
      </c>
      <c r="C4" s="5">
        <v>8195</v>
      </c>
      <c r="D4" s="5">
        <v>2700</v>
      </c>
      <c r="E4" s="4">
        <v>695</v>
      </c>
      <c r="F4" s="4">
        <v>347</v>
      </c>
      <c r="M4" s="5">
        <v>29359</v>
      </c>
      <c r="O4" s="10">
        <f>SUM(B4:E4)</f>
        <v>29012</v>
      </c>
      <c r="P4" s="11">
        <f>F4</f>
        <v>347</v>
      </c>
      <c r="Q4" s="11">
        <f t="shared" ref="Q4:V4" si="0">G4</f>
        <v>0</v>
      </c>
      <c r="R4" s="11">
        <f t="shared" si="0"/>
        <v>0</v>
      </c>
      <c r="S4" s="11">
        <f t="shared" si="0"/>
        <v>0</v>
      </c>
      <c r="T4" s="11">
        <f t="shared" si="0"/>
        <v>0</v>
      </c>
      <c r="U4" s="11">
        <f t="shared" si="0"/>
        <v>0</v>
      </c>
      <c r="V4" s="11">
        <f t="shared" si="0"/>
        <v>0</v>
      </c>
    </row>
    <row r="5" spans="1:22">
      <c r="B5" s="6">
        <v>31032</v>
      </c>
      <c r="C5" s="6">
        <v>37619</v>
      </c>
      <c r="D5" s="6">
        <v>34062</v>
      </c>
      <c r="E5" s="6">
        <v>32962</v>
      </c>
      <c r="F5" s="6">
        <v>33532</v>
      </c>
      <c r="M5" s="6">
        <v>33224</v>
      </c>
    </row>
    <row r="6" spans="1:22">
      <c r="A6" s="3" t="s">
        <v>10</v>
      </c>
      <c r="B6" s="5">
        <v>22207</v>
      </c>
      <c r="C6" s="5">
        <v>21575</v>
      </c>
      <c r="D6" s="5">
        <v>17977</v>
      </c>
      <c r="E6" s="5">
        <v>11521</v>
      </c>
      <c r="F6" s="5">
        <v>16980</v>
      </c>
      <c r="G6" s="4">
        <v>90</v>
      </c>
      <c r="M6" s="5">
        <v>90350</v>
      </c>
      <c r="O6" s="10">
        <f>SUM(B6:E6)</f>
        <v>73280</v>
      </c>
      <c r="P6" s="11">
        <f>F6</f>
        <v>16980</v>
      </c>
      <c r="Q6" s="11">
        <f t="shared" ref="Q6" si="1">G6</f>
        <v>90</v>
      </c>
      <c r="R6" s="11">
        <f t="shared" ref="R6" si="2">H6</f>
        <v>0</v>
      </c>
      <c r="S6" s="11">
        <f t="shared" ref="S6" si="3">I6</f>
        <v>0</v>
      </c>
      <c r="T6" s="11">
        <f t="shared" ref="T6" si="4">J6</f>
        <v>0</v>
      </c>
      <c r="U6" s="11">
        <f t="shared" ref="U6" si="5">K6</f>
        <v>0</v>
      </c>
      <c r="V6" s="11">
        <f t="shared" ref="V6" si="6">L6</f>
        <v>0</v>
      </c>
    </row>
    <row r="7" spans="1:22">
      <c r="B7" s="6">
        <v>38940</v>
      </c>
      <c r="C7" s="6">
        <v>49074</v>
      </c>
      <c r="D7" s="6">
        <v>52503</v>
      </c>
      <c r="E7" s="6">
        <v>55834</v>
      </c>
      <c r="F7" s="6">
        <v>56097</v>
      </c>
      <c r="G7" s="6">
        <v>50068</v>
      </c>
      <c r="M7" s="6">
        <v>49448</v>
      </c>
    </row>
    <row r="8" spans="1:22">
      <c r="A8" s="3" t="s">
        <v>11</v>
      </c>
      <c r="B8" s="5">
        <v>16278</v>
      </c>
      <c r="C8" s="5">
        <v>14412</v>
      </c>
      <c r="D8" s="5">
        <v>11864</v>
      </c>
      <c r="E8" s="5">
        <v>8658</v>
      </c>
      <c r="F8" s="5">
        <v>47926</v>
      </c>
      <c r="G8" s="5">
        <v>10740</v>
      </c>
      <c r="H8" s="4">
        <v>49</v>
      </c>
      <c r="M8" s="5">
        <v>109927</v>
      </c>
      <c r="O8" s="10">
        <f>SUM(B8:E8)</f>
        <v>51212</v>
      </c>
      <c r="P8" s="11">
        <f>F8</f>
        <v>47926</v>
      </c>
      <c r="Q8" s="11">
        <f t="shared" ref="Q8" si="7">G8</f>
        <v>10740</v>
      </c>
      <c r="R8" s="11">
        <f t="shared" ref="R8" si="8">H8</f>
        <v>49</v>
      </c>
      <c r="S8" s="11">
        <f t="shared" ref="S8" si="9">I8</f>
        <v>0</v>
      </c>
      <c r="T8" s="11">
        <f t="shared" ref="T8" si="10">J8</f>
        <v>0</v>
      </c>
      <c r="U8" s="11">
        <f t="shared" ref="U8" si="11">K8</f>
        <v>0</v>
      </c>
      <c r="V8" s="11">
        <f t="shared" ref="V8" si="12">L8</f>
        <v>0</v>
      </c>
    </row>
    <row r="9" spans="1:22">
      <c r="B9" s="6">
        <v>38755</v>
      </c>
      <c r="C9" s="6">
        <v>48737</v>
      </c>
      <c r="D9" s="6">
        <v>52044</v>
      </c>
      <c r="E9" s="6">
        <v>55996</v>
      </c>
      <c r="F9" s="6">
        <v>60864</v>
      </c>
      <c r="G9" s="6">
        <v>65039</v>
      </c>
      <c r="H9" s="6">
        <v>55152</v>
      </c>
      <c r="M9" s="6">
        <v>55070</v>
      </c>
    </row>
    <row r="10" spans="1:22">
      <c r="A10" s="3" t="s">
        <v>12</v>
      </c>
      <c r="B10" s="5">
        <v>14169</v>
      </c>
      <c r="C10" s="5">
        <v>12351</v>
      </c>
      <c r="D10" s="5">
        <v>9743</v>
      </c>
      <c r="E10" s="5">
        <v>6703</v>
      </c>
      <c r="F10" s="5">
        <v>35771</v>
      </c>
      <c r="G10" s="5">
        <v>34520</v>
      </c>
      <c r="H10" s="5">
        <v>8156</v>
      </c>
      <c r="I10" s="4">
        <v>73</v>
      </c>
      <c r="M10" s="5">
        <v>121486</v>
      </c>
      <c r="O10" s="10">
        <f>SUM(B10:E10)</f>
        <v>42966</v>
      </c>
      <c r="P10" s="11">
        <f>F10</f>
        <v>35771</v>
      </c>
      <c r="Q10" s="11">
        <f t="shared" ref="Q10" si="13">G10</f>
        <v>34520</v>
      </c>
      <c r="R10" s="11">
        <f t="shared" ref="R10" si="14">H10</f>
        <v>8156</v>
      </c>
      <c r="S10" s="11">
        <f t="shared" ref="S10" si="15">I10</f>
        <v>73</v>
      </c>
      <c r="T10" s="11">
        <f t="shared" ref="T10" si="16">J10</f>
        <v>0</v>
      </c>
      <c r="U10" s="11">
        <f t="shared" ref="U10" si="17">K10</f>
        <v>0</v>
      </c>
      <c r="V10" s="11">
        <f t="shared" ref="V10" si="18">L10</f>
        <v>0</v>
      </c>
    </row>
    <row r="11" spans="1:22">
      <c r="B11" s="6">
        <v>38870</v>
      </c>
      <c r="C11" s="6">
        <v>49108</v>
      </c>
      <c r="D11" s="6">
        <v>52692</v>
      </c>
      <c r="E11" s="6">
        <v>57194</v>
      </c>
      <c r="F11" s="6">
        <v>61321</v>
      </c>
      <c r="G11" s="6">
        <v>69086</v>
      </c>
      <c r="H11" s="6">
        <v>72043</v>
      </c>
      <c r="I11" s="6">
        <v>70260</v>
      </c>
      <c r="M11" s="6">
        <v>59473</v>
      </c>
    </row>
    <row r="12" spans="1:22">
      <c r="A12" s="3" t="s">
        <v>18</v>
      </c>
      <c r="B12" s="5">
        <v>12006</v>
      </c>
      <c r="C12" s="5">
        <v>10720</v>
      </c>
      <c r="D12" s="5">
        <v>8499</v>
      </c>
      <c r="E12" s="5">
        <v>5693</v>
      </c>
      <c r="F12" s="5">
        <v>31266</v>
      </c>
      <c r="G12" s="5">
        <v>26289</v>
      </c>
      <c r="H12" s="5">
        <v>32474</v>
      </c>
      <c r="I12" s="5">
        <v>7274</v>
      </c>
      <c r="J12" s="4">
        <v>102</v>
      </c>
      <c r="M12" s="5">
        <v>134323</v>
      </c>
      <c r="O12" s="10">
        <f>SUM(B12:E12)</f>
        <v>36918</v>
      </c>
      <c r="P12" s="11">
        <f>F12</f>
        <v>31266</v>
      </c>
      <c r="Q12" s="11">
        <f t="shared" ref="Q12" si="19">G12</f>
        <v>26289</v>
      </c>
      <c r="R12" s="11">
        <f t="shared" ref="R12" si="20">H12</f>
        <v>32474</v>
      </c>
      <c r="S12" s="11">
        <f t="shared" ref="S12" si="21">I12</f>
        <v>7274</v>
      </c>
      <c r="T12" s="11">
        <f t="shared" ref="T12" si="22">J12</f>
        <v>102</v>
      </c>
      <c r="U12" s="11">
        <f t="shared" ref="U12" si="23">K12</f>
        <v>0</v>
      </c>
      <c r="V12" s="11">
        <f t="shared" ref="V12" si="24">L12</f>
        <v>0</v>
      </c>
    </row>
    <row r="13" spans="1:22">
      <c r="B13" s="6">
        <v>38862</v>
      </c>
      <c r="C13" s="6">
        <v>49315</v>
      </c>
      <c r="D13" s="6">
        <v>52414</v>
      </c>
      <c r="E13" s="6">
        <v>57635</v>
      </c>
      <c r="F13" s="6">
        <v>60459</v>
      </c>
      <c r="G13" s="6">
        <v>68846</v>
      </c>
      <c r="H13" s="6">
        <v>74975</v>
      </c>
      <c r="I13" s="6">
        <v>76688</v>
      </c>
      <c r="J13" s="6">
        <v>70820</v>
      </c>
      <c r="M13" s="6">
        <v>63048</v>
      </c>
    </row>
    <row r="14" spans="1:22">
      <c r="A14" s="3" t="s">
        <v>19</v>
      </c>
      <c r="B14" s="5">
        <v>9406</v>
      </c>
      <c r="C14" s="5">
        <v>8599</v>
      </c>
      <c r="D14" s="5">
        <v>6480</v>
      </c>
      <c r="E14" s="5">
        <v>4608</v>
      </c>
      <c r="F14" s="5">
        <v>25947</v>
      </c>
      <c r="G14" s="5">
        <v>20661</v>
      </c>
      <c r="H14" s="5">
        <v>23353</v>
      </c>
      <c r="I14" s="5">
        <v>25272</v>
      </c>
      <c r="J14" s="5">
        <v>6131</v>
      </c>
      <c r="K14" s="4">
        <v>68</v>
      </c>
      <c r="M14" s="5">
        <v>130525</v>
      </c>
      <c r="O14" s="10">
        <f>SUM(B14:E14)</f>
        <v>29093</v>
      </c>
      <c r="P14" s="11">
        <f>F14</f>
        <v>25947</v>
      </c>
      <c r="Q14" s="11">
        <f t="shared" ref="Q14" si="25">G14</f>
        <v>20661</v>
      </c>
      <c r="R14" s="11">
        <f t="shared" ref="R14" si="26">H14</f>
        <v>23353</v>
      </c>
      <c r="S14" s="11">
        <f t="shared" ref="S14" si="27">I14</f>
        <v>25272</v>
      </c>
      <c r="T14" s="11">
        <f t="shared" ref="T14" si="28">J14</f>
        <v>6131</v>
      </c>
      <c r="U14" s="11">
        <f t="shared" ref="U14" si="29">K14</f>
        <v>68</v>
      </c>
      <c r="V14" s="11">
        <f t="shared" ref="V14" si="30">L14</f>
        <v>0</v>
      </c>
    </row>
    <row r="15" spans="1:22">
      <c r="B15" s="6">
        <v>38485</v>
      </c>
      <c r="C15" s="6">
        <v>49266</v>
      </c>
      <c r="D15" s="6">
        <v>51780</v>
      </c>
      <c r="E15" s="6">
        <v>56156</v>
      </c>
      <c r="F15" s="6">
        <v>59017</v>
      </c>
      <c r="G15" s="6">
        <v>67108</v>
      </c>
      <c r="H15" s="6">
        <v>73375</v>
      </c>
      <c r="I15" s="6">
        <v>79676</v>
      </c>
      <c r="J15" s="6">
        <v>81504</v>
      </c>
      <c r="K15" s="6">
        <v>74344</v>
      </c>
      <c r="M15" s="6">
        <v>65349</v>
      </c>
    </row>
    <row r="16" spans="1:22">
      <c r="A16" s="3" t="s">
        <v>20</v>
      </c>
      <c r="B16" s="5">
        <v>7983</v>
      </c>
      <c r="C16" s="5">
        <v>7028</v>
      </c>
      <c r="D16" s="5">
        <v>5621</v>
      </c>
      <c r="E16" s="5">
        <v>4057</v>
      </c>
      <c r="F16" s="5">
        <v>22498</v>
      </c>
      <c r="G16" s="5">
        <v>18977</v>
      </c>
      <c r="H16" s="5">
        <v>20461</v>
      </c>
      <c r="I16" s="5">
        <v>19625</v>
      </c>
      <c r="J16" s="5">
        <v>20493</v>
      </c>
      <c r="K16" s="5">
        <v>3427</v>
      </c>
      <c r="L16" s="4">
        <v>61</v>
      </c>
      <c r="M16" s="5">
        <v>130231</v>
      </c>
      <c r="O16" s="10">
        <f>SUM(B16:E16)</f>
        <v>24689</v>
      </c>
      <c r="P16" s="11">
        <f>F16</f>
        <v>22498</v>
      </c>
      <c r="Q16" s="11">
        <f t="shared" ref="Q16" si="31">G16</f>
        <v>18977</v>
      </c>
      <c r="R16" s="11">
        <f t="shared" ref="R16" si="32">H16</f>
        <v>20461</v>
      </c>
      <c r="S16" s="11">
        <f t="shared" ref="S16" si="33">I16</f>
        <v>19625</v>
      </c>
      <c r="T16" s="11">
        <f t="shared" ref="T16" si="34">J16</f>
        <v>20493</v>
      </c>
      <c r="U16" s="11">
        <f t="shared" ref="U16" si="35">K16</f>
        <v>3427</v>
      </c>
      <c r="V16" s="11">
        <f t="shared" ref="V16" si="36">L16</f>
        <v>61</v>
      </c>
    </row>
    <row r="17" spans="1:22">
      <c r="B17" s="6">
        <v>38496</v>
      </c>
      <c r="C17" s="6">
        <v>47902</v>
      </c>
      <c r="D17" s="6">
        <v>49897</v>
      </c>
      <c r="E17" s="6">
        <v>55067</v>
      </c>
      <c r="F17" s="6">
        <v>57581</v>
      </c>
      <c r="G17" s="6">
        <v>63732</v>
      </c>
      <c r="H17" s="6">
        <v>69670</v>
      </c>
      <c r="I17" s="6">
        <v>75533</v>
      </c>
      <c r="J17" s="6">
        <v>82772</v>
      </c>
      <c r="K17" s="6">
        <v>84756</v>
      </c>
      <c r="L17" s="6">
        <v>71083</v>
      </c>
      <c r="M17" s="6">
        <v>65665</v>
      </c>
    </row>
    <row r="18" spans="1:22">
      <c r="A18" s="3" t="s">
        <v>21</v>
      </c>
      <c r="B18" s="5">
        <v>6025</v>
      </c>
      <c r="C18" s="5">
        <v>5376</v>
      </c>
      <c r="D18" s="5">
        <v>4450</v>
      </c>
      <c r="E18" s="5">
        <v>2955</v>
      </c>
      <c r="F18" s="5">
        <v>17342</v>
      </c>
      <c r="G18" s="5">
        <v>14547</v>
      </c>
      <c r="H18" s="5">
        <v>17344</v>
      </c>
      <c r="I18" s="5">
        <v>15091</v>
      </c>
      <c r="J18" s="5">
        <v>10571</v>
      </c>
      <c r="K18" s="5">
        <v>8172</v>
      </c>
      <c r="L18" s="5">
        <v>1313</v>
      </c>
      <c r="M18" s="5">
        <v>103186</v>
      </c>
      <c r="O18" s="10">
        <f>SUM(B18:E18)</f>
        <v>18806</v>
      </c>
      <c r="P18" s="11">
        <f>F18</f>
        <v>17342</v>
      </c>
      <c r="Q18" s="11">
        <f t="shared" ref="Q18" si="37">G18</f>
        <v>14547</v>
      </c>
      <c r="R18" s="11">
        <f t="shared" ref="R18" si="38">H18</f>
        <v>17344</v>
      </c>
      <c r="S18" s="11">
        <f t="shared" ref="S18" si="39">I18</f>
        <v>15091</v>
      </c>
      <c r="T18" s="11">
        <f t="shared" ref="T18" si="40">J18</f>
        <v>10571</v>
      </c>
      <c r="U18" s="11">
        <f t="shared" ref="U18" si="41">K18</f>
        <v>8172</v>
      </c>
      <c r="V18" s="11">
        <f t="shared" ref="V18" si="42">L18</f>
        <v>1313</v>
      </c>
    </row>
    <row r="19" spans="1:22">
      <c r="B19" s="6">
        <v>36492</v>
      </c>
      <c r="C19" s="6">
        <v>46666</v>
      </c>
      <c r="D19" s="6">
        <v>49132</v>
      </c>
      <c r="E19" s="6">
        <v>51995</v>
      </c>
      <c r="F19" s="6">
        <v>54614</v>
      </c>
      <c r="G19" s="6">
        <v>59725</v>
      </c>
      <c r="H19" s="6">
        <v>63758</v>
      </c>
      <c r="I19" s="6">
        <v>68972</v>
      </c>
      <c r="J19" s="6">
        <v>75515</v>
      </c>
      <c r="K19" s="6">
        <v>86846</v>
      </c>
      <c r="L19" s="6">
        <v>83713</v>
      </c>
      <c r="M19" s="6">
        <v>62252</v>
      </c>
    </row>
    <row r="20" spans="1:22">
      <c r="A20" s="3" t="s">
        <v>22</v>
      </c>
      <c r="B20" s="5">
        <v>4061</v>
      </c>
      <c r="C20" s="5">
        <v>3866</v>
      </c>
      <c r="D20" s="5">
        <v>3125</v>
      </c>
      <c r="E20" s="5">
        <v>2093</v>
      </c>
      <c r="F20" s="5">
        <v>12964</v>
      </c>
      <c r="G20" s="5">
        <v>10881</v>
      </c>
      <c r="H20" s="5">
        <v>12573</v>
      </c>
      <c r="I20" s="5">
        <v>9902</v>
      </c>
      <c r="J20" s="5">
        <v>6934</v>
      </c>
      <c r="K20" s="5">
        <v>3788</v>
      </c>
      <c r="L20" s="5">
        <v>2815</v>
      </c>
      <c r="M20" s="5">
        <v>73002</v>
      </c>
      <c r="O20" s="10">
        <f>SUM(B20:E20)</f>
        <v>13145</v>
      </c>
      <c r="P20" s="11">
        <f>F20</f>
        <v>12964</v>
      </c>
      <c r="Q20" s="11">
        <f t="shared" ref="Q20" si="43">G20</f>
        <v>10881</v>
      </c>
      <c r="R20" s="11">
        <f t="shared" ref="R20" si="44">H20</f>
        <v>12573</v>
      </c>
      <c r="S20" s="11">
        <f t="shared" ref="S20" si="45">I20</f>
        <v>9902</v>
      </c>
      <c r="T20" s="11">
        <f t="shared" ref="T20" si="46">J20</f>
        <v>6934</v>
      </c>
      <c r="U20" s="11">
        <f t="shared" ref="U20" si="47">K20</f>
        <v>3788</v>
      </c>
      <c r="V20" s="11">
        <f t="shared" ref="V20" si="48">L20</f>
        <v>2815</v>
      </c>
    </row>
    <row r="21" spans="1:22">
      <c r="B21" s="6">
        <v>34592</v>
      </c>
      <c r="C21" s="6">
        <v>42917</v>
      </c>
      <c r="D21" s="6">
        <v>44645</v>
      </c>
      <c r="E21" s="6">
        <v>49801</v>
      </c>
      <c r="F21" s="6">
        <v>51466</v>
      </c>
      <c r="G21" s="6">
        <v>57578</v>
      </c>
      <c r="H21" s="6">
        <v>60342</v>
      </c>
      <c r="I21" s="6">
        <v>63425</v>
      </c>
      <c r="J21" s="6">
        <v>66590</v>
      </c>
      <c r="K21" s="6">
        <v>76155</v>
      </c>
      <c r="L21" s="6">
        <v>85460</v>
      </c>
      <c r="M21" s="6">
        <v>57825</v>
      </c>
    </row>
    <row r="22" spans="1:22">
      <c r="A22" s="3" t="s">
        <v>23</v>
      </c>
      <c r="B22" s="5">
        <v>3128</v>
      </c>
      <c r="C22" s="5">
        <v>2779</v>
      </c>
      <c r="D22" s="5">
        <v>2239</v>
      </c>
      <c r="E22" s="5">
        <v>1532</v>
      </c>
      <c r="F22" s="5">
        <v>9368</v>
      </c>
      <c r="G22" s="5">
        <v>7476</v>
      </c>
      <c r="H22" s="5">
        <v>6855</v>
      </c>
      <c r="I22" s="5">
        <v>5610</v>
      </c>
      <c r="J22" s="5">
        <v>4259</v>
      </c>
      <c r="K22" s="5">
        <v>2663</v>
      </c>
      <c r="L22" s="5">
        <v>2574</v>
      </c>
      <c r="M22" s="5">
        <v>48483</v>
      </c>
      <c r="O22" s="10">
        <f>SUM(B22:E22)</f>
        <v>9678</v>
      </c>
      <c r="P22" s="11">
        <f>F22</f>
        <v>9368</v>
      </c>
      <c r="Q22" s="11">
        <f t="shared" ref="Q22" si="49">G22</f>
        <v>7476</v>
      </c>
      <c r="R22" s="11">
        <f t="shared" ref="R22" si="50">H22</f>
        <v>6855</v>
      </c>
      <c r="S22" s="11">
        <f t="shared" ref="S22" si="51">I22</f>
        <v>5610</v>
      </c>
      <c r="T22" s="11">
        <f t="shared" ref="T22" si="52">J22</f>
        <v>4259</v>
      </c>
      <c r="U22" s="11">
        <f t="shared" ref="U22" si="53">K22</f>
        <v>2663</v>
      </c>
      <c r="V22" s="11">
        <f t="shared" ref="V22" si="54">L22</f>
        <v>2574</v>
      </c>
    </row>
    <row r="23" spans="1:22">
      <c r="B23" s="6">
        <v>28919</v>
      </c>
      <c r="C23" s="6">
        <v>35526</v>
      </c>
      <c r="D23" s="6">
        <v>38351</v>
      </c>
      <c r="E23" s="6">
        <v>42975</v>
      </c>
      <c r="F23" s="6">
        <v>47108</v>
      </c>
      <c r="G23" s="6">
        <v>54161</v>
      </c>
      <c r="H23" s="6">
        <v>58165</v>
      </c>
      <c r="I23" s="6">
        <v>61817</v>
      </c>
      <c r="J23" s="6">
        <v>61824</v>
      </c>
      <c r="K23" s="6">
        <v>64300</v>
      </c>
      <c r="L23" s="6">
        <v>78030</v>
      </c>
      <c r="M23" s="6">
        <v>52967</v>
      </c>
    </row>
    <row r="24" spans="1:22">
      <c r="A24" s="3" t="s">
        <v>13</v>
      </c>
      <c r="B24" s="5">
        <v>112685</v>
      </c>
      <c r="C24" s="5">
        <v>94901</v>
      </c>
      <c r="D24" s="5">
        <v>72698</v>
      </c>
      <c r="E24" s="5">
        <v>48515</v>
      </c>
      <c r="F24" s="5">
        <v>220409</v>
      </c>
      <c r="G24" s="5">
        <v>144181</v>
      </c>
      <c r="H24" s="5">
        <v>121265</v>
      </c>
      <c r="I24" s="5">
        <v>82847</v>
      </c>
      <c r="J24" s="5">
        <v>48490</v>
      </c>
      <c r="K24" s="5">
        <v>18118</v>
      </c>
      <c r="L24" s="5">
        <v>6763</v>
      </c>
      <c r="M24" s="5">
        <v>970872</v>
      </c>
    </row>
    <row r="25" spans="1:22">
      <c r="B25" s="6">
        <v>32241</v>
      </c>
      <c r="C25" s="6">
        <v>43963</v>
      </c>
      <c r="D25" s="6">
        <v>49247</v>
      </c>
      <c r="E25" s="6">
        <v>54529</v>
      </c>
      <c r="F25" s="6">
        <v>58236</v>
      </c>
      <c r="G25" s="6">
        <v>65154</v>
      </c>
      <c r="H25" s="6">
        <v>69495</v>
      </c>
      <c r="I25" s="6">
        <v>73322</v>
      </c>
      <c r="J25" s="6">
        <v>76851</v>
      </c>
      <c r="K25" s="6">
        <v>80855</v>
      </c>
      <c r="L25" s="6">
        <v>82163</v>
      </c>
      <c r="M25" s="6">
        <v>59210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Vu, Steve (Student)</cp:lastModifiedBy>
  <dcterms:created xsi:type="dcterms:W3CDTF">2025-01-24T14:46:48Z</dcterms:created>
  <dcterms:modified xsi:type="dcterms:W3CDTF">2025-01-24T19:52:42Z</dcterms:modified>
</cp:coreProperties>
</file>